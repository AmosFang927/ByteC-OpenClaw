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4696-CPS核算" sheetId="2" state="visible" r:id="rId2"/>
    <sheet name="4046-CPA核算" sheetId="3" state="visible" r:id="rId3"/>
    <sheet name="SubId2明细-4696" sheetId="4" state="visible" r:id="rId4"/>
    <sheet name="一致性核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($#,##0);-"/>
    <numFmt numFmtId="166" formatCode="0.0000%"/>
    <numFmt numFmtId="167" formatCode="$#,##0.00;($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808080"/>
      <sz val="9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0" fillId="3" borderId="0" pivotButton="0" quotePrefix="0" xfId="0"/>
    <xf numFmtId="0" fontId="4" fillId="0" borderId="0" pivotButton="0" quotePrefix="0" xfId="0"/>
    <xf numFmtId="165" fontId="8" fillId="4" borderId="0" pivotButton="0" quotePrefix="0" xfId="0"/>
    <xf numFmtId="165" fontId="4" fillId="4" borderId="0" pivotButton="0" quotePrefix="0" xfId="0"/>
    <xf numFmtId="165" fontId="3" fillId="4" borderId="0" pivotButton="0" quotePrefix="0" xfId="0"/>
    <xf numFmtId="3" fontId="8" fillId="0" borderId="1" pivotButton="0" quotePrefix="0" xfId="0"/>
    <xf numFmtId="167" fontId="8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7" fontId="3" fillId="4" borderId="1" pivotButton="0" quotePrefix="0" xfId="0"/>
    <xf numFmtId="0" fontId="9" fillId="0" borderId="0" pivotButton="0" quotePrefix="0" xfId="0"/>
    <xf numFmtId="167" fontId="3" fillId="0" borderId="0" pivotButton="0" quotePrefix="0" xfId="0"/>
    <xf numFmtId="167" fontId="3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65" fontId="10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167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167" fontId="10" fillId="0" borderId="1" pivotButton="0" quotePrefix="0" xfId="0"/>
    <xf numFmtId="167" fontId="3" fillId="0" borderId="1" pivotButton="0" quotePrefix="0" xfId="0"/>
    <xf numFmtId="167" fontId="4" fillId="0" borderId="1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核对</author>
  </authors>
  <commentList>
    <comment ref="F3" authorId="0" shapeId="0">
      <text>
        <t>原表AF Cost%=0.112766696，对应AF Cost≈1065.03，此处取显示整数1065，故AF Cost%≈11.277%，尾差来自四舍五入。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数据一致性核对模型  |  2026 年 7 月 1 日 – 7 月 31 日</t>
        </is>
      </c>
    </row>
    <row r="3">
      <c r="A3" s="2" t="inlineStr">
        <is>
          <t>一、核算公式</t>
        </is>
      </c>
    </row>
    <row r="4">
      <c r="A4" s="3" t="inlineStr">
        <is>
          <t>① MTD Cost</t>
        </is>
      </c>
      <c r="B4" s="4">
        <f> Action Earnings + AF Cost   ⟹   Action Earnings = MTD Cost − AF Cost</f>
        <v/>
      </c>
    </row>
    <row r="5">
      <c r="A5" s="3" t="inlineStr">
        <is>
          <t>② 核减金额</t>
        </is>
      </c>
      <c r="B5" s="4">
        <f> AF Cost − (AF Cost + Action Earnings) × 优化目标%  = AF Cost − MTD Cost × 优化目标%</f>
        <v/>
      </c>
    </row>
    <row r="6">
      <c r="A6" s="3" t="inlineStr">
        <is>
          <t>③ AF Cost%</t>
        </is>
      </c>
      <c r="B6" s="4">
        <f> AF Cost / MTD Cost</f>
        <v/>
      </c>
    </row>
    <row r="8">
      <c r="A8" s="2" t="inlineStr">
        <is>
          <t>二、账号口径</t>
        </is>
      </c>
    </row>
    <row r="9">
      <c r="A9" s="3" t="inlineStr">
        <is>
          <t>6704696 (尾号4696)</t>
        </is>
      </c>
      <c r="B9" s="4" t="inlineStr">
        <is>
          <t>CPS 预算 / GMV / 优化目标 10% —— 涉及核减（结果=月末核减）。广告主=ByteC Media LTD。</t>
        </is>
      </c>
    </row>
    <row r="10">
      <c r="A10" s="3" t="inlineStr">
        <is>
          <t>6494046 (尾号4046)</t>
        </is>
      </c>
      <c r="B10" s="4" t="inlineStr">
        <is>
          <t>CPA 预算 / DNC / 优化目标 15% —— 不涉及核减（结果=-），但影响广告主预算分配。广告主=ByteC-RTA。</t>
        </is>
      </c>
    </row>
    <row r="12">
      <c r="A12" s="2" t="inlineStr">
        <is>
          <t>三、颜色图例（用于分析：改蓝色格→全表重算）</t>
        </is>
      </c>
    </row>
    <row r="13">
      <c r="A13" s="5" t="inlineStr">
        <is>
          <t>蓝色数字</t>
        </is>
      </c>
      <c r="B13" s="4" t="inlineStr">
        <is>
          <t>手工录入项 / 可调参数（AF Cost、MTD Cost、优化目标%、SubId2 收益）——分析时改这里</t>
        </is>
      </c>
    </row>
    <row r="14">
      <c r="A14" s="3" t="inlineStr">
        <is>
          <t>黑色数字</t>
        </is>
      </c>
      <c r="B14" s="4" t="inlineStr">
        <is>
          <t>公式计算结果（Action Earnings、AF Cost%、核减金额）——请勿手改</t>
        </is>
      </c>
    </row>
    <row r="15">
      <c r="A15" s="6" t="inlineStr">
        <is>
          <t>绿色数字</t>
        </is>
      </c>
      <c r="B15" s="4" t="inlineStr">
        <is>
          <t>跨工作表引用</t>
        </is>
      </c>
    </row>
    <row r="16">
      <c r="A16" s="7" t="inlineStr">
        <is>
          <t>黄色底纹</t>
        </is>
      </c>
      <c r="B16" s="4" t="inlineStr">
        <is>
          <t>关键假设 / 需人工确认的单元格</t>
        </is>
      </c>
    </row>
    <row r="18">
      <c r="A18" s="2" t="inlineStr">
        <is>
          <t>四、工作表</t>
        </is>
      </c>
    </row>
    <row r="19">
      <c r="A19" s="3" t="inlineStr">
        <is>
          <t>4696-CPS核算</t>
        </is>
      </c>
      <c r="B19" s="4" t="inlineStr">
        <is>
          <t>ByteC Media LTD 各地区 AF Cost% / MTD / 核减金额（含公式）</t>
        </is>
      </c>
    </row>
    <row r="20">
      <c r="A20" s="3" t="inlineStr">
        <is>
          <t>4046-CPA核算</t>
        </is>
      </c>
      <c r="B20" s="4" t="inlineStr">
        <is>
          <t>ByteC-RTA 各地区核算 + 与给定 $32,365 交叉验证</t>
        </is>
      </c>
    </row>
    <row r="21">
      <c r="A21" s="3" t="inlineStr">
        <is>
          <t>SubId2明细-4696</t>
        </is>
      </c>
      <c r="B21" s="4" t="inlineStr">
        <is>
          <t>图2 平台原始数据，按 SubId2 归集并分 TH/PH/SEA 桶</t>
        </is>
      </c>
    </row>
    <row r="22">
      <c r="A22" s="3" t="inlineStr">
        <is>
          <t>一致性核对</t>
        </is>
      </c>
      <c r="B22" s="4" t="inlineStr">
        <is>
          <t>三方交叉核对与 SEA 大盘分摊反推、差异定位</t>
        </is>
      </c>
    </row>
  </sheetData>
  <mergeCells count="14">
    <mergeCell ref="A1:D1"/>
    <mergeCell ref="B14:H14"/>
    <mergeCell ref="B22:H22"/>
    <mergeCell ref="B9:H9"/>
    <mergeCell ref="B13:H13"/>
    <mergeCell ref="B19:H19"/>
    <mergeCell ref="B4:H4"/>
    <mergeCell ref="B21:H21"/>
    <mergeCell ref="B6:H6"/>
    <mergeCell ref="B16:H16"/>
    <mergeCell ref="B15:H15"/>
    <mergeCell ref="B10:H10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5" customWidth="1" min="8" max="8"/>
    <col width="12" customWidth="1" min="9" max="9"/>
    <col width="15" customWidth="1" min="10" max="10"/>
    <col width="11" customWidth="1" min="11" max="11"/>
  </cols>
  <sheetData>
    <row r="1" ht="24" customHeight="1">
      <c r="A1" s="1" t="inlineStr">
        <is>
          <t>4696-CPS核算</t>
        </is>
      </c>
    </row>
    <row r="2">
      <c r="A2" s="8" t="inlineStr">
        <is>
          <t>Region</t>
        </is>
      </c>
      <c r="B2" s="8" t="inlineStr">
        <is>
          <t>Partner Name</t>
        </is>
      </c>
      <c r="C2" s="8" t="inlineStr">
        <is>
          <t>Partner ID</t>
        </is>
      </c>
      <c r="D2" s="8" t="inlineStr">
        <is>
          <t>Partner Type</t>
        </is>
      </c>
      <c r="E2" s="8" t="inlineStr">
        <is>
          <t>优化目标%</t>
        </is>
      </c>
      <c r="F2" s="8" t="inlineStr">
        <is>
          <t>AF Cost</t>
        </is>
      </c>
      <c r="G2" s="8" t="inlineStr">
        <is>
          <t>MTD Cost</t>
        </is>
      </c>
      <c r="H2" s="8" t="inlineStr">
        <is>
          <t>Action Earnings</t>
        </is>
      </c>
      <c r="I2" s="8" t="inlineStr">
        <is>
          <t>AF Cost%</t>
        </is>
      </c>
      <c r="J2" s="8" t="inlineStr">
        <is>
          <t>核减/超标金额</t>
        </is>
      </c>
      <c r="K2" s="8" t="inlineStr">
        <is>
          <t>结果</t>
        </is>
      </c>
    </row>
    <row r="3">
      <c r="A3" s="9" t="inlineStr">
        <is>
          <t>TH</t>
        </is>
      </c>
      <c r="B3" s="10" t="inlineStr">
        <is>
          <t>ByteC Media LTD</t>
        </is>
      </c>
      <c r="C3" s="11" t="inlineStr">
        <is>
          <t>6704696</t>
        </is>
      </c>
      <c r="D3" s="9" t="inlineStr">
        <is>
          <t>GMV</t>
        </is>
      </c>
      <c r="E3" s="12" t="n">
        <v>0.1</v>
      </c>
      <c r="F3" s="13" t="n">
        <v>1065</v>
      </c>
      <c r="G3" s="13" t="n">
        <v>9444</v>
      </c>
      <c r="H3" s="14">
        <f>G3-F3</f>
        <v/>
      </c>
      <c r="I3" s="15">
        <f>IF(G3=0,0,F3/G3)</f>
        <v/>
      </c>
      <c r="J3" s="14">
        <f>F3-G3*E3</f>
        <v/>
      </c>
      <c r="K3" s="9" t="inlineStr">
        <is>
          <t>月末核减</t>
        </is>
      </c>
    </row>
    <row r="4">
      <c r="A4" s="9" t="inlineStr">
        <is>
          <t>PH</t>
        </is>
      </c>
      <c r="B4" s="10" t="inlineStr">
        <is>
          <t>ByteC Media LTD</t>
        </is>
      </c>
      <c r="C4" s="11" t="inlineStr">
        <is>
          <t>6704696</t>
        </is>
      </c>
      <c r="D4" s="9" t="inlineStr">
        <is>
          <t>GMV</t>
        </is>
      </c>
      <c r="E4" s="12" t="n">
        <v>0.1</v>
      </c>
      <c r="F4" s="13" t="n">
        <v>1183</v>
      </c>
      <c r="G4" s="13" t="n">
        <v>5630</v>
      </c>
      <c r="H4" s="14">
        <f>G4-F4</f>
        <v/>
      </c>
      <c r="I4" s="15">
        <f>IF(G4=0,0,F4/G4)</f>
        <v/>
      </c>
      <c r="J4" s="14">
        <f>F4-G4*E4</f>
        <v/>
      </c>
      <c r="K4" s="9" t="inlineStr">
        <is>
          <t>月末核减</t>
        </is>
      </c>
    </row>
    <row r="5">
      <c r="A5" s="16" t="inlineStr">
        <is>
          <t>合计</t>
        </is>
      </c>
      <c r="B5" s="17" t="n"/>
      <c r="C5" s="17" t="n"/>
      <c r="D5" s="17" t="n"/>
      <c r="E5" s="17" t="n"/>
      <c r="F5" s="18">
        <f>SUM(F3:F4)</f>
        <v/>
      </c>
      <c r="G5" s="18">
        <f>SUM(G3:G4)</f>
        <v/>
      </c>
      <c r="H5" s="18">
        <f>SUM(H3:H4)</f>
        <v/>
      </c>
      <c r="I5" s="19">
        <f>IF(G5=0,0,F5/G5)</f>
        <v/>
      </c>
      <c r="J5" s="18">
        <f>SUM(J3:J4)</f>
        <v/>
      </c>
      <c r="K5" s="17" t="n"/>
    </row>
    <row r="7">
      <c r="A7" s="3" t="inlineStr">
        <is>
          <t>说明：</t>
        </is>
      </c>
      <c r="B7" s="4" t="inlineStr">
        <is>
          <t>AF Cost 与 MTD Cost 为原汇总表录入项（蓝）；Action Earnings、AF Cost%、核减金额为公式（黑）。注意：本表 MTD 为原汇总表口径；与平台 SubId2 归集的地区 AE 存在差异，详见「一致性核对」③。</t>
        </is>
      </c>
    </row>
  </sheetData>
  <mergeCells count="2">
    <mergeCell ref="A1:K1"/>
    <mergeCell ref="B7:K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5" customWidth="1" min="8" max="8"/>
    <col width="12" customWidth="1" min="9" max="9"/>
    <col width="15" customWidth="1" min="10" max="10"/>
    <col width="11" customWidth="1" min="11" max="11"/>
  </cols>
  <sheetData>
    <row r="1" ht="24" customHeight="1">
      <c r="A1" s="1" t="inlineStr">
        <is>
          <t>4046-CPA核算</t>
        </is>
      </c>
    </row>
    <row r="2">
      <c r="A2" s="8" t="inlineStr">
        <is>
          <t>Region</t>
        </is>
      </c>
      <c r="B2" s="8" t="inlineStr">
        <is>
          <t>Partner Name</t>
        </is>
      </c>
      <c r="C2" s="8" t="inlineStr">
        <is>
          <t>Partner ID</t>
        </is>
      </c>
      <c r="D2" s="8" t="inlineStr">
        <is>
          <t>Partner Type</t>
        </is>
      </c>
      <c r="E2" s="8" t="inlineStr">
        <is>
          <t>优化目标%</t>
        </is>
      </c>
      <c r="F2" s="8" t="inlineStr">
        <is>
          <t>AF Cost</t>
        </is>
      </c>
      <c r="G2" s="8" t="inlineStr">
        <is>
          <t>MTD Cost</t>
        </is>
      </c>
      <c r="H2" s="8" t="inlineStr">
        <is>
          <t>Action Earnings</t>
        </is>
      </c>
      <c r="I2" s="8" t="inlineStr">
        <is>
          <t>AF Cost%</t>
        </is>
      </c>
      <c r="J2" s="8" t="inlineStr">
        <is>
          <t>核减/超标金额</t>
        </is>
      </c>
      <c r="K2" s="8" t="inlineStr">
        <is>
          <t>结果</t>
        </is>
      </c>
    </row>
    <row r="3">
      <c r="A3" s="9" t="inlineStr">
        <is>
          <t>TH</t>
        </is>
      </c>
      <c r="B3" s="10" t="inlineStr">
        <is>
          <t>ByteC-RTA</t>
        </is>
      </c>
      <c r="C3" s="11" t="inlineStr">
        <is>
          <t>6494046</t>
        </is>
      </c>
      <c r="D3" s="9" t="inlineStr">
        <is>
          <t>DNC</t>
        </is>
      </c>
      <c r="E3" s="12" t="n">
        <v>0.15</v>
      </c>
      <c r="F3" s="13" t="n">
        <v>3925</v>
      </c>
      <c r="G3" s="13" t="n">
        <v>36290</v>
      </c>
      <c r="H3" s="14">
        <f>G3-F3</f>
        <v/>
      </c>
      <c r="I3" s="15">
        <f>IF(G3=0,0,F3/G3)</f>
        <v/>
      </c>
      <c r="J3" s="14">
        <f>F3-G3*E3</f>
        <v/>
      </c>
      <c r="K3" s="9" t="inlineStr">
        <is>
          <t>-</t>
        </is>
      </c>
    </row>
    <row r="4">
      <c r="A4" s="9" t="inlineStr">
        <is>
          <t>PH</t>
        </is>
      </c>
      <c r="B4" s="10" t="inlineStr">
        <is>
          <t>ByteC-RTA</t>
        </is>
      </c>
      <c r="C4" s="11" t="inlineStr">
        <is>
          <t>6494046</t>
        </is>
      </c>
      <c r="D4" s="9" t="inlineStr">
        <is>
          <t>DNC</t>
        </is>
      </c>
      <c r="E4" s="12" t="n">
        <v>0.15</v>
      </c>
      <c r="F4" s="13" t="n">
        <v>12</v>
      </c>
      <c r="G4" s="13" t="n">
        <v>12</v>
      </c>
      <c r="H4" s="14">
        <f>G4-F4</f>
        <v/>
      </c>
      <c r="I4" s="15">
        <f>IF(G4=0,0,F4/G4)</f>
        <v/>
      </c>
      <c r="J4" s="14">
        <f>F4-G4*E4</f>
        <v/>
      </c>
      <c r="K4" s="9" t="inlineStr">
        <is>
          <t>-</t>
        </is>
      </c>
    </row>
    <row r="5">
      <c r="A5" s="9" t="inlineStr">
        <is>
          <t>MY</t>
        </is>
      </c>
      <c r="B5" s="10" t="inlineStr">
        <is>
          <t>ByteC-RTA</t>
        </is>
      </c>
      <c r="C5" s="11" t="inlineStr">
        <is>
          <t>6494046</t>
        </is>
      </c>
      <c r="D5" s="9" t="inlineStr">
        <is>
          <t>DNC</t>
        </is>
      </c>
      <c r="E5" s="12" t="n">
        <v>0.15</v>
      </c>
      <c r="F5" s="13" t="n">
        <v>6</v>
      </c>
      <c r="G5" s="13" t="n">
        <v>6</v>
      </c>
      <c r="H5" s="14">
        <f>G5-F5</f>
        <v/>
      </c>
      <c r="I5" s="15">
        <f>IF(G5=0,0,F5/G5)</f>
        <v/>
      </c>
      <c r="J5" s="14">
        <f>F5-G5*E5</f>
        <v/>
      </c>
      <c r="K5" s="9" t="inlineStr">
        <is>
          <t>-</t>
        </is>
      </c>
    </row>
    <row r="6">
      <c r="A6" s="9" t="inlineStr">
        <is>
          <t>VN</t>
        </is>
      </c>
      <c r="B6" s="10" t="inlineStr">
        <is>
          <t>ByteC-RTA</t>
        </is>
      </c>
      <c r="C6" s="11" t="inlineStr">
        <is>
          <t>6494046</t>
        </is>
      </c>
      <c r="D6" s="9" t="inlineStr">
        <is>
          <t>DNC</t>
        </is>
      </c>
      <c r="E6" s="12" t="n">
        <v>0.15</v>
      </c>
      <c r="F6" s="13" t="n">
        <v>4</v>
      </c>
      <c r="G6" s="13" t="n">
        <v>4</v>
      </c>
      <c r="H6" s="14">
        <f>G6-F6</f>
        <v/>
      </c>
      <c r="I6" s="15">
        <f>IF(G6=0,0,F6/G6)</f>
        <v/>
      </c>
      <c r="J6" s="14">
        <f>F6-G6*E6</f>
        <v/>
      </c>
      <c r="K6" s="9" t="inlineStr">
        <is>
          <t>-</t>
        </is>
      </c>
    </row>
    <row r="7">
      <c r="A7" s="16" t="inlineStr">
        <is>
          <t>合计</t>
        </is>
      </c>
      <c r="B7" s="17" t="n"/>
      <c r="C7" s="17" t="n"/>
      <c r="D7" s="17" t="n"/>
      <c r="E7" s="17" t="n"/>
      <c r="F7" s="18">
        <f>SUM(F3:F6)</f>
        <v/>
      </c>
      <c r="G7" s="18">
        <f>SUM(G3:G6)</f>
        <v/>
      </c>
      <c r="H7" s="18">
        <f>SUM(H3:H6)</f>
        <v/>
      </c>
      <c r="I7" s="19">
        <f>IF(G7=0,0,F7/G7)</f>
        <v/>
      </c>
      <c r="J7" s="18">
        <f>SUM(J3:J6)</f>
        <v/>
      </c>
      <c r="K7" s="17" t="n"/>
    </row>
    <row r="9">
      <c r="A9" s="2" t="inlineStr">
        <is>
          <t>交叉验证</t>
        </is>
      </c>
      <c r="H9" s="20" t="n"/>
    </row>
    <row r="10">
      <c r="A10" s="21" t="inlineStr">
        <is>
          <t>给定 7月4046 Action Earnings</t>
        </is>
      </c>
      <c r="H10" s="22" t="n">
        <v>32365</v>
      </c>
    </row>
    <row r="11">
      <c r="A11" s="21" t="inlineStr">
        <is>
          <t>模型合计 Action Earnings</t>
        </is>
      </c>
      <c r="H11" s="23">
        <f>H7</f>
        <v/>
      </c>
    </row>
    <row r="12">
      <c r="A12" s="3" t="inlineStr">
        <is>
          <t>差异</t>
        </is>
      </c>
      <c r="H12" s="24">
        <f>H11-H10</f>
        <v/>
      </c>
      <c r="I12" s="3">
        <f>IF(ABS(H12)&lt;0.5,"✅ 一致","⚠️ 不一致")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SubId2 明细（图2 · ByteC Media LTD · Tiktok Shop SEA · Jul 2026）</t>
        </is>
      </c>
    </row>
    <row r="2">
      <c r="A2" s="8" t="inlineStr">
        <is>
          <t>SubId2</t>
        </is>
      </c>
      <c r="B2" s="8" t="inlineStr">
        <is>
          <t>Region归属</t>
        </is>
      </c>
      <c r="C2" s="8" t="inlineStr">
        <is>
          <t>Raw Clicks</t>
        </is>
      </c>
      <c r="D2" s="8" t="inlineStr">
        <is>
          <t>Actions</t>
        </is>
      </c>
      <c r="E2" s="8" t="inlineStr">
        <is>
          <t>Sale Amount</t>
        </is>
      </c>
      <c r="F2" s="8" t="inlineStr">
        <is>
          <t>Action Earnings</t>
        </is>
      </c>
    </row>
    <row r="3">
      <c r="A3" s="10" t="inlineStr">
        <is>
          <t>MP_s_TTS-impact-SEA-cps-PDP_s_TH</t>
        </is>
      </c>
      <c r="B3" s="11" t="inlineStr">
        <is>
          <t>TH</t>
        </is>
      </c>
      <c r="C3" s="25" t="n">
        <v>205329</v>
      </c>
      <c r="D3" s="25" t="n">
        <v>109699</v>
      </c>
      <c r="E3" s="26" t="n">
        <v>501349.81</v>
      </c>
      <c r="F3" s="26" t="n">
        <v>5536.86</v>
      </c>
    </row>
    <row r="4">
      <c r="A4" s="10" t="inlineStr">
        <is>
          <t>MP_s_TTS-impact-SEA-cps-PDP_s_PH</t>
        </is>
      </c>
      <c r="B4" s="11" t="inlineStr">
        <is>
          <t>PH</t>
        </is>
      </c>
      <c r="C4" s="25" t="n">
        <v>389904</v>
      </c>
      <c r="D4" s="25" t="n">
        <v>109848</v>
      </c>
      <c r="E4" s="26" t="n">
        <v>395658.56</v>
      </c>
      <c r="F4" s="26" t="n">
        <v>3102.46</v>
      </c>
    </row>
    <row r="5">
      <c r="A5" s="10" t="inlineStr">
        <is>
          <t>NX_s_TTS_s_TH</t>
        </is>
      </c>
      <c r="B5" s="11" t="inlineStr">
        <is>
          <t>TH</t>
        </is>
      </c>
      <c r="C5" s="25" t="n">
        <v>94894</v>
      </c>
      <c r="D5" s="25" t="n">
        <v>39105</v>
      </c>
      <c r="E5" s="26" t="n">
        <v>152164.39</v>
      </c>
      <c r="F5" s="26" t="n">
        <v>1701.37</v>
      </c>
    </row>
    <row r="6">
      <c r="A6" s="10" t="inlineStr">
        <is>
          <t>Xmob_s_TTS-impact-SEA-cps-PDP_s_PH</t>
        </is>
      </c>
      <c r="B6" s="11" t="inlineStr">
        <is>
          <t>PH</t>
        </is>
      </c>
      <c r="C6" s="25" t="n">
        <v>311634</v>
      </c>
      <c r="D6" s="25" t="n">
        <v>33320</v>
      </c>
      <c r="E6" s="26" t="n">
        <v>129644.56</v>
      </c>
      <c r="F6" s="26" t="n">
        <v>1172.17</v>
      </c>
    </row>
    <row r="7">
      <c r="A7" s="10" t="inlineStr">
        <is>
          <t>Xmob_s_TTS-impact-SEA-cps-PDP_s_TH</t>
        </is>
      </c>
      <c r="B7" s="11" t="inlineStr">
        <is>
          <t>TH</t>
        </is>
      </c>
      <c r="C7" s="25" t="n">
        <v>162372</v>
      </c>
      <c r="D7" s="25" t="n">
        <v>14209</v>
      </c>
      <c r="E7" s="26" t="n">
        <v>68108.96000000001</v>
      </c>
      <c r="F7" s="26" t="n">
        <v>759.17</v>
      </c>
    </row>
    <row r="8">
      <c r="A8" s="10" t="inlineStr">
        <is>
          <t>KCAJ_s_TTS_s_TH</t>
        </is>
      </c>
      <c r="B8" s="11" t="inlineStr">
        <is>
          <t>TH</t>
        </is>
      </c>
      <c r="C8" s="25" t="n">
        <v>96706</v>
      </c>
      <c r="D8" s="25" t="n">
        <v>7078</v>
      </c>
      <c r="E8" s="26" t="n">
        <v>33246.99</v>
      </c>
      <c r="F8" s="26" t="n">
        <v>425.73</v>
      </c>
    </row>
    <row r="9">
      <c r="A9" s="10" t="inlineStr">
        <is>
          <t>KCAJ_s_TTS_s_PH</t>
        </is>
      </c>
      <c r="B9" s="11" t="inlineStr">
        <is>
          <t>PH</t>
        </is>
      </c>
      <c r="C9" s="25" t="n">
        <v>12</v>
      </c>
      <c r="D9" s="25" t="n">
        <v>3860</v>
      </c>
      <c r="E9" s="26" t="n">
        <v>9446.700000000001</v>
      </c>
      <c r="F9" s="26" t="n">
        <v>145.46</v>
      </c>
    </row>
    <row r="10">
      <c r="A10" s="10" t="inlineStr">
        <is>
          <t>Bidmatrix_s_TTS_s_TH</t>
        </is>
      </c>
      <c r="B10" s="11" t="inlineStr">
        <is>
          <t>TH</t>
        </is>
      </c>
      <c r="C10" s="25" t="n">
        <v>57845</v>
      </c>
      <c r="D10" s="25" t="n">
        <v>4329</v>
      </c>
      <c r="E10" s="26" t="n">
        <v>17993.87</v>
      </c>
      <c r="F10" s="26" t="n">
        <v>95.51000000000001</v>
      </c>
    </row>
    <row r="11">
      <c r="A11" s="10" t="inlineStr">
        <is>
          <t>Bidmatrix_s_TTS_s_PH</t>
        </is>
      </c>
      <c r="B11" s="11" t="inlineStr">
        <is>
          <t>PH</t>
        </is>
      </c>
      <c r="C11" s="25" t="n">
        <v>32752</v>
      </c>
      <c r="D11" s="25" t="n">
        <v>4685</v>
      </c>
      <c r="E11" s="26" t="n">
        <v>13169.98</v>
      </c>
      <c r="F11" s="26" t="n">
        <v>8.449999999999999</v>
      </c>
    </row>
    <row r="12">
      <c r="A12" s="27" t="inlineStr">
        <is>
          <t>平台合计</t>
        </is>
      </c>
      <c r="B12" s="17" t="n"/>
      <c r="C12" s="28">
        <f>SUM(C3:C11)</f>
        <v/>
      </c>
      <c r="D12" s="28">
        <f>SUM(D3:D11)</f>
        <v/>
      </c>
      <c r="E12" s="29">
        <f>SUM(E3:E11)</f>
        <v/>
      </c>
      <c r="F12" s="29">
        <f>SUM(F3:F11)</f>
        <v/>
      </c>
    </row>
    <row r="14">
      <c r="A14" s="2" t="inlineStr">
        <is>
          <t>按地区分桶（Action Earnings）</t>
        </is>
      </c>
    </row>
    <row r="15">
      <c r="A15" s="30" t="inlineStr">
        <is>
          <t>（更新图：所有 SubId2 均带国家后缀 _TH/_PH，可直接按国家归集，无需再拆 SEA）</t>
        </is>
      </c>
    </row>
    <row r="16">
      <c r="A16" s="3" t="inlineStr">
        <is>
          <t>TH 合计</t>
        </is>
      </c>
      <c r="F16" s="31">
        <f>SUMIF($B$3:$B$11,"TH",$F$3:$F$11)</f>
        <v/>
      </c>
    </row>
    <row r="17">
      <c r="A17" s="3" t="inlineStr">
        <is>
          <t>PH 合计</t>
        </is>
      </c>
      <c r="F17" s="31">
        <f>SUMIF($B$3:$B$11,"PH",$F$3:$F$11)</f>
        <v/>
      </c>
    </row>
    <row r="18">
      <c r="A18" s="3" t="inlineStr">
        <is>
          <t>合计（应=平台合计）</t>
        </is>
      </c>
      <c r="F18" s="32">
        <f>SUM(F16:F17)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3" customWidth="1" min="4" max="4"/>
    <col width="22" customWidth="1" min="5" max="5"/>
    <col width="26" customWidth="1" min="6" max="6"/>
    <col width="14" customWidth="1" min="7" max="7"/>
    <col width="13" customWidth="1" min="8" max="8"/>
  </cols>
  <sheetData>
    <row r="1" ht="24" customHeight="1">
      <c r="A1" s="1" t="inlineStr">
        <is>
          <t>一致性核对与差异定位</t>
        </is>
      </c>
    </row>
    <row r="3">
      <c r="A3" s="33" t="inlineStr">
        <is>
          <t>① 4046（CPA）—— 各地区 Action Earnings vs 给定 $32,365</t>
        </is>
      </c>
      <c r="B3" s="34" t="n"/>
      <c r="C3" s="34" t="n"/>
      <c r="D3" s="34" t="n"/>
      <c r="E3" s="34" t="n"/>
    </row>
    <row r="4">
      <c r="A4" s="21" t="inlineStr">
        <is>
          <t>模型合计 Action Earnings</t>
        </is>
      </c>
      <c r="C4" s="35">
        <f>'4046-CPA核算'!H7</f>
        <v/>
      </c>
    </row>
    <row r="5">
      <c r="A5" s="21" t="inlineStr">
        <is>
          <t>给定值</t>
        </is>
      </c>
      <c r="C5" s="36" t="n">
        <v>32365</v>
      </c>
    </row>
    <row r="6">
      <c r="A6" s="3" t="inlineStr">
        <is>
          <t>差异</t>
        </is>
      </c>
      <c r="C6" s="37">
        <f>C4-C5</f>
        <v/>
      </c>
      <c r="D6" s="3">
        <f>IF(ABS(C6)&lt;0.5,"✅ 完全一致","⚠️ 不一致")</f>
        <v/>
      </c>
    </row>
    <row r="8">
      <c r="A8" s="33" t="inlineStr">
        <is>
          <t>② 4696（CPS）—— 平台合计 vs 汇总表 TH+PH 总额</t>
        </is>
      </c>
      <c r="B8" s="34" t="n"/>
      <c r="C8" s="34" t="n"/>
      <c r="D8" s="34" t="n"/>
      <c r="E8" s="34" t="n"/>
    </row>
    <row r="9">
      <c r="A9" s="21" t="inlineStr">
        <is>
          <t>平台合计 Action Earnings（图2）</t>
        </is>
      </c>
      <c r="C9" s="38">
        <f>'SubId2明细-4696'!F12</f>
        <v/>
      </c>
    </row>
    <row r="10">
      <c r="A10" s="21" t="inlineStr">
        <is>
          <t>汇总表 TH+PH（=MTD−AF）</t>
        </is>
      </c>
      <c r="C10" s="38">
        <f>'4696-CPS核算'!H5</f>
        <v/>
      </c>
    </row>
    <row r="11">
      <c r="A11" s="3" t="inlineStr">
        <is>
          <t>总额差异</t>
        </is>
      </c>
      <c r="C11" s="31">
        <f>C9-C10</f>
        <v/>
      </c>
      <c r="D11" s="30" t="inlineStr">
        <is>
          <t>总额约差 $121，但需看到分地区才知问题</t>
        </is>
      </c>
    </row>
    <row r="13">
      <c r="A13" s="33" t="inlineStr">
        <is>
          <t>③ 4696 分地区核对（更新图：SubId2 已带 _TH/_PH 后缀，可精确归集）★核心</t>
        </is>
      </c>
      <c r="B13" s="34" t="n"/>
      <c r="C13" s="34" t="n"/>
      <c r="D13" s="34" t="n"/>
      <c r="E13" s="34" t="n"/>
    </row>
    <row r="14">
      <c r="A14" s="8" t="inlineStr">
        <is>
          <t>地区</t>
        </is>
      </c>
      <c r="B14" s="8" t="inlineStr">
        <is>
          <t>汇总表 AE(=MTD−AF)</t>
        </is>
      </c>
      <c r="C14" s="8" t="inlineStr">
        <is>
          <t>平台 AE(SubId2)</t>
        </is>
      </c>
      <c r="D14" s="8" t="inlineStr">
        <is>
          <t>AE 差异</t>
        </is>
      </c>
      <c r="E14" s="8" t="inlineStr">
        <is>
          <t>校正 MTD(=平台AE+AF)</t>
        </is>
      </c>
      <c r="F14" s="8" t="inlineStr">
        <is>
          <t>校正核减(AF−校正MTD×10%)</t>
        </is>
      </c>
      <c r="G14" s="8" t="inlineStr">
        <is>
          <t>汇总表核减</t>
        </is>
      </c>
      <c r="H14" s="8" t="inlineStr">
        <is>
          <t>核减差异</t>
        </is>
      </c>
    </row>
    <row r="15">
      <c r="A15" s="39" t="inlineStr">
        <is>
          <t>TH</t>
        </is>
      </c>
      <c r="B15" s="40">
        <f>'4696-CPS核算'!H3</f>
        <v/>
      </c>
      <c r="C15" s="40">
        <f>'SubId2明细-4696'!F16</f>
        <v/>
      </c>
      <c r="D15" s="41">
        <f>B15-C15</f>
        <v/>
      </c>
      <c r="E15" s="42">
        <f>C15+'4696-CPS核算'!F3</f>
        <v/>
      </c>
      <c r="F15" s="42">
        <f>'4696-CPS核算'!F3-E15*'4696-CPS核算'!E3</f>
        <v/>
      </c>
      <c r="G15" s="40">
        <f>'4696-CPS核算'!J3</f>
        <v/>
      </c>
      <c r="H15" s="41">
        <f>G15-F15</f>
        <v/>
      </c>
    </row>
    <row r="16">
      <c r="A16" s="39" t="inlineStr">
        <is>
          <t>PH</t>
        </is>
      </c>
      <c r="B16" s="40">
        <f>'4696-CPS核算'!H4</f>
        <v/>
      </c>
      <c r="C16" s="40">
        <f>'SubId2明细-4696'!F17</f>
        <v/>
      </c>
      <c r="D16" s="41">
        <f>B16-C16</f>
        <v/>
      </c>
      <c r="E16" s="42">
        <f>C16+'4696-CPS核算'!F4</f>
        <v/>
      </c>
      <c r="F16" s="42">
        <f>'4696-CPS核算'!F4-E16*'4696-CPS核算'!E4</f>
        <v/>
      </c>
      <c r="G16" s="40">
        <f>'4696-CPS核算'!J4</f>
        <v/>
      </c>
      <c r="H16" s="41">
        <f>G16-F16</f>
        <v/>
      </c>
    </row>
    <row r="17">
      <c r="A17" s="16" t="inlineStr">
        <is>
          <t>合计</t>
        </is>
      </c>
      <c r="B17" s="29">
        <f>SUM(B15:B16)</f>
        <v/>
      </c>
      <c r="C17" s="29">
        <f>SUM(C15:C16)</f>
        <v/>
      </c>
      <c r="D17" s="29">
        <f>SUM(D15:D16)</f>
        <v/>
      </c>
      <c r="E17" s="17" t="n"/>
      <c r="F17" s="29">
        <f>SUM(F15:F16)</f>
        <v/>
      </c>
      <c r="G17" s="29">
        <f>SUM(G15:G16)</f>
        <v/>
      </c>
      <c r="H17" s="29">
        <f>SUM(H15:H16)</f>
        <v/>
      </c>
    </row>
    <row r="19">
      <c r="A19" s="3" t="inlineStr">
        <is>
          <t>读法：</t>
        </is>
      </c>
      <c r="B19" s="4" t="inlineStr">
        <is>
          <t>「AE 差异」「核减差异」非 0 即为不一致。汇总表用的地区 AE 与平台 SubId2 归集不符，应以平台 AE 重算 MTD 与核减（见「校正」两列）。</t>
        </is>
      </c>
    </row>
    <row r="21">
      <c r="A21" s="33" t="inlineStr">
        <is>
          <t>④ 结论（基于更新图）</t>
        </is>
      </c>
      <c r="B21" s="34" t="n"/>
      <c r="C21" s="34" t="n"/>
      <c r="D21" s="34" t="n"/>
      <c r="E21" s="34" t="n"/>
    </row>
    <row r="22">
      <c r="A22" s="3" t="inlineStr">
        <is>
          <t>4046（CPA）</t>
        </is>
      </c>
      <c r="B22" s="43" t="inlineStr">
        <is>
          <t>✅ 一致</t>
        </is>
      </c>
      <c r="C22" s="4" t="inlineStr">
        <is>
          <t>各地区AE合计=$32,365.00 精确吻合；公式全部对得上。</t>
        </is>
      </c>
    </row>
    <row r="23">
      <c r="A23" s="3" t="inlineStr">
        <is>
          <t>4696 总额</t>
        </is>
      </c>
      <c r="B23" s="43" t="inlineStr">
        <is>
          <t>✅ 可对平</t>
        </is>
      </c>
      <c r="C23" s="4" t="inlineStr">
        <is>
          <t>平台合计$12,947.20；SubId2按_TH/_PH归集 TH=$8,518.64 + PH=$4,428.54 =$12,947.18。</t>
        </is>
      </c>
    </row>
    <row r="24">
      <c r="A24" s="3" t="inlineStr">
        <is>
          <t>4696 分地区</t>
        </is>
      </c>
      <c r="B24" s="44" t="inlineStr">
        <is>
          <t>⚠️ 不一致</t>
        </is>
      </c>
      <c r="C24" s="4" t="inlineStr">
        <is>
          <t>汇总表 TH AE=8,379 vs 平台8,518.64（差−139.64）；PH AE=4,447 vs 平台4,428.54（差+18.46）。</t>
        </is>
      </c>
    </row>
    <row r="25">
      <c r="A25" s="3" t="inlineStr">
        <is>
          <t>4696 核减金额</t>
        </is>
      </c>
      <c r="B25" s="44" t="inlineStr">
        <is>
          <t>⚠️ 需更正</t>
        </is>
      </c>
      <c r="C25" s="4" t="inlineStr">
        <is>
          <t>以平台AE重算：TH核减≈$107（原$121，多算约$14）、PH核减≈$622（原$620，少算约$2）。</t>
        </is>
      </c>
    </row>
    <row r="27">
      <c r="A27" s="3" t="inlineStr">
        <is>
          <t>建议</t>
        </is>
      </c>
    </row>
    <row r="28">
      <c r="A28" s="4" t="inlineStr">
        <is>
          <t>1. 4696 的 TH/PH Action Earnings 应直接采用平台 SubId2 按 _TH/_PH 后缀归集的值（TH $8,518.64 / PH $4,428.54），据此重算 MTD 与核减金额。</t>
        </is>
      </c>
    </row>
    <row r="29">
      <c r="A29" s="4" t="inlineStr">
        <is>
          <t>2. 复核汇总表 4696 的 MTD（TH 9,444 / PH 5,630）来源：与平台校正值（TH 9,583.64 / PH 5,611.54）不符，可能 MTD 中「商家&amp;平台佣金」口径或取数时点与 Action Earnings 不一致。</t>
        </is>
      </c>
    </row>
    <row r="30">
      <c r="A30" s="4" t="inlineStr">
        <is>
          <t>3. 表中若干 $1 级尾差（如4046 PH/VN的AF超标显示11/4）源于小额数据显示取整，非逻辑错误。</t>
        </is>
      </c>
    </row>
  </sheetData>
  <mergeCells count="9">
    <mergeCell ref="C25:H25"/>
    <mergeCell ref="C24:H24"/>
    <mergeCell ref="A30:H30"/>
    <mergeCell ref="A29:H29"/>
    <mergeCell ref="C22:H22"/>
    <mergeCell ref="C23:H23"/>
    <mergeCell ref="A28:H28"/>
    <mergeCell ref="A1:E1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2026-08-09T16:23:13Z</dcterms:created>
  <dcterms:modified xsi:type="dcterms:W3CDTF">2026-08-09T16:23:13Z</dcterms:modified>
</cp:coreProperties>
</file>